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otection lockStructure="1" workbookPassword="998c"/>
  <bookViews>
    <workbookView/>
  </bookViews>
  <sheets>
    <sheet name="Summary" sheetId="1" r:id="rId1"/>
    <sheet name="Matched" sheetId="2" r:id="rId3"/>
    <sheet name="Unmatched_Bank" sheetId="3" r:id="rId4"/>
    <sheet name="Unmatched_Ledger" sheetId="4" r:id="rId5"/>
    <sheet name="Audit Report" sheetId="5" r:id="rId6"/>
  </sheets>
  <calcPr fullCalcOnLoad="1" fullPrecision="1"/>
</workbook>
</file>

<file path=xl/sharedStrings.xml><?xml version="1.0" encoding="utf-8"?>
<sst xmlns="http://schemas.openxmlformats.org/spreadsheetml/2006/main" count="96" uniqueCount="96">
  <si>
    <t>MITANZ360Fin - Reconciliation Report</t>
  </si>
  <si>
    <t>Run (UTC)</t>
  </si>
  <si>
    <t>2026-04-06 16:49:29</t>
  </si>
  <si>
    <t>Chart Data</t>
  </si>
  <si>
    <t>Run (Local)</t>
  </si>
  <si>
    <t>2026-04-06 22:19:29</t>
  </si>
  <si>
    <t>Generated By</t>
  </si>
  <si>
    <t>sysadmin@xyz.com</t>
  </si>
  <si>
    <t>Matched</t>
  </si>
  <si>
    <t>AI Deployment</t>
  </si>
  <si>
    <t>gpt-4o-mini</t>
  </si>
  <si>
    <t>Unmatched Bank</t>
  </si>
  <si>
    <t>Bank File</t>
  </si>
  <si>
    <t>Test-X_Bank_Statement.csv</t>
  </si>
  <si>
    <t>Unmatched Ledger</t>
  </si>
  <si>
    <t>Ledger File</t>
  </si>
  <si>
    <t>Test-X_Ledger.csv</t>
  </si>
  <si>
    <t>Key Metrics</t>
  </si>
  <si>
    <t>Bank Net Total</t>
  </si>
  <si>
    <t>Bank Rows</t>
  </si>
  <si>
    <t>Ledger Net Total</t>
  </si>
  <si>
    <t>Ledger Rows</t>
  </si>
  <si>
    <t>Net Difference</t>
  </si>
  <si>
    <t>Matched Pairs</t>
  </si>
  <si>
    <t>Uploaded</t>
  </si>
  <si>
    <t>Needs Review</t>
  </si>
  <si>
    <t>Match Rate (%)</t>
  </si>
  <si>
    <t>Bank Date</t>
  </si>
  <si>
    <t>Bank Description</t>
  </si>
  <si>
    <t>Bank Debit</t>
  </si>
  <si>
    <t>Bank Credit</t>
  </si>
  <si>
    <t>Bank Ref</t>
  </si>
  <si>
    <t>Ledger Date</t>
  </si>
  <si>
    <t>Ledger Description</t>
  </si>
  <si>
    <t>Ledger Debit</t>
  </si>
  <si>
    <t>Ledger Credit</t>
  </si>
  <si>
    <t>Ledger Ref</t>
  </si>
  <si>
    <t>Difference</t>
  </si>
  <si>
    <t>Match Source</t>
  </si>
  <si>
    <t>Confidence</t>
  </si>
  <si>
    <t>Reason</t>
  </si>
  <si>
    <t>2026-03-01</t>
  </si>
  <si>
    <t>Opening Balance</t>
  </si>
  <si>
    <t>5000</t>
  </si>
  <si>
    <t>AI</t>
  </si>
  <si>
    <t>Exact reference match and exact net amount</t>
  </si>
  <si>
    <t>2026-03-02</t>
  </si>
  <si>
    <t>Customer Payment INV1001</t>
  </si>
  <si>
    <t>6500</t>
  </si>
  <si>
    <t>2026-03-03</t>
  </si>
  <si>
    <t>Supplier Payment SUP2001</t>
  </si>
  <si>
    <t>5300</t>
  </si>
  <si>
    <t>2026-03-06</t>
  </si>
  <si>
    <t>Customer Payment INV1002</t>
  </si>
  <si>
    <t>7275</t>
  </si>
  <si>
    <t>2026-03-05</t>
  </si>
  <si>
    <t>Interest Received</t>
  </si>
  <si>
    <t>5275</t>
  </si>
  <si>
    <t>Interest (Not Recorded)</t>
  </si>
  <si>
    <t>Net amount match with strong description similarity</t>
  </si>
  <si>
    <t>Date</t>
  </si>
  <si>
    <t>Description</t>
  </si>
  <si>
    <t>Debit</t>
  </si>
  <si>
    <t>Credit</t>
  </si>
  <si>
    <t>Reference</t>
  </si>
  <si>
    <t>Source</t>
  </si>
  <si>
    <t>2026-03-04</t>
  </si>
  <si>
    <t>Bank Charges</t>
  </si>
  <si>
    <t>5250</t>
  </si>
  <si>
    <t>BANK</t>
  </si>
  <si>
    <t>2026-03-07</t>
  </si>
  <si>
    <t>Returned Cheque</t>
  </si>
  <si>
    <t>6775</t>
  </si>
  <si>
    <t>2026-03-08</t>
  </si>
  <si>
    <t>Duplicate Entry Error</t>
  </si>
  <si>
    <t>7775</t>
  </si>
  <si>
    <t>2026-03-09</t>
  </si>
  <si>
    <t>Supplier Payment SUP2002</t>
  </si>
  <si>
    <t>6975</t>
  </si>
  <si>
    <t>2026-03-10</t>
  </si>
  <si>
    <t>ATM Withdrawal</t>
  </si>
  <si>
    <t>6675</t>
  </si>
  <si>
    <t>Bank Charges (Not Recorded)</t>
  </si>
  <si>
    <t>LEDGER</t>
  </si>
  <si>
    <t>Cheque Issued (Not Cleared)</t>
  </si>
  <si>
    <t>Duplicate Missing Entry</t>
  </si>
  <si>
    <t>Cash Withdrawal</t>
  </si>
  <si>
    <t>MITANZ360Fin – Audit Report</t>
  </si>
  <si>
    <t>Governance</t>
  </si>
  <si>
    <t>System-calculated values are authoritative. AI is advisory only. This audit report confirms numeric accuracy and reporting consistency.</t>
  </si>
  <si>
    <t>Run UTC</t>
  </si>
  <si>
    <t>Run Local</t>
  </si>
  <si>
    <t>User</t>
  </si>
  <si>
    <t>Authoritative Calculations</t>
  </si>
  <si>
    <t>Numeric Accuracy Confirmation</t>
  </si>
  <si>
    <t xml:space="preserve">All totals and variances were computed directly from the uploaded transaction data.
The Summary sheet values are consistent with these authoritative calculations.
This workbook is protected to prevent accidental modification.</t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</si>
</sst>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1"/>
      <name val="Aptos Narrow"/>
    </font>
    <font>
      <b/>
      <sz val="18"/>
      <color rgb="FFFFFFFF"/>
      <name val="Aptos Narrow"/>
    </font>
    <font>
      <b/>
      <sz val="11"/>
      <name val="Aptos Narrow"/>
    </font>
    <font>
      <b/>
      <sz val="11"/>
      <color rgb="FF323130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0078D4"/>
      </patternFill>
    </fill>
    <fill>
      <patternFill patternType="solid">
        <fgColor rgb="FFF3F2F1"/>
      </patternFill>
    </fill>
    <fill>
      <patternFill patternType="solid">
        <fgColor rgb="FFFFB900"/>
      </patternFill>
    </fill>
  </fills>
  <borders count="7">
    <border>
      <left/>
      <right/>
      <top/>
      <bottom/>
      <diagonal/>
    </border>
    <border>
      <left style="thin">
        <color rgb="FFD1D1D1"/>
      </left>
      <right/>
      <top style="thin">
        <color rgb="FFD1D1D1"/>
      </top>
      <bottom style="thin">
        <color rgb="FFD1D1D1"/>
      </bottom>
      <diagonal/>
    </border>
    <border>
      <left/>
      <right style="thin">
        <color rgb="FFD1D1D1"/>
      </right>
      <top style="thin">
        <color rgb="FFD1D1D1"/>
      </top>
      <bottom style="thin">
        <color rgb="FFD1D1D1"/>
      </bottom>
      <diagonal/>
    </border>
    <border>
      <left style="thin">
        <color rgb="FFD1D1D1"/>
      </left>
      <right/>
      <top style="thin">
        <color rgb="FFD1D1D1"/>
      </top>
      <bottom/>
      <diagonal/>
    </border>
    <border>
      <left/>
      <right style="thin">
        <color rgb="FFD1D1D1"/>
      </right>
      <top style="thin">
        <color rgb="FFD1D1D1"/>
      </top>
      <bottom/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  <border>
      <left style="thin">
        <color rgb="FFD1D1D1"/>
      </left>
      <right/>
      <top style="thin">
        <color rgb="FFD1D1D1"/>
      </top>
      <bottom style="thin">
        <color rgb="FFD1D1D1"/>
      </bottom>
      <diagonal/>
    </border>
  </borders>
  <cellStyleXfs count="1">
    <xf numFmtId="0" fontId="0"/>
  </cellStyleXfs>
  <cellXfs count="17">
    <xf numFmtId="0" fontId="0" xfId="0"/>
    <xf numFmtId="0" fontId="1" applyFont="1" fillId="2" applyFill="1"/>
    <xf numFmtId="0" fontId="2" applyFont="1"/>
    <xf numFmtId="0" fontId="3" applyFont="1" fillId="3" applyFill="1"/>
    <xf numFmtId="0" fontId="3" applyFont="1" fillId="3" applyFill="1" borderId="0"/>
    <xf numFmtId="0" fontId="0" borderId="0"/>
    <xf numFmtId="0" fontId="2" applyFont="1" borderId="1" applyBorder="1"/>
    <xf numFmtId="0" fontId="2" applyFont="1" borderId="3" applyBorder="1"/>
    <xf numFmtId="1" applyNumberFormat="1" fontId="0" borderId="4" applyBorder="1"/>
    <xf numFmtId="4" applyNumberFormat="1" fontId="0" borderId="4" applyBorder="1"/>
    <xf numFmtId="164" applyNumberFormat="1" fontId="0" borderId="2" applyBorder="1"/>
    <xf numFmtId="4" applyNumberFormat="1" fontId="4" applyFont="1" fillId="4" applyFill="1" borderId="4" applyBorder="1"/>
    <xf numFmtId="4" applyNumberFormat="1" fontId="0"/>
    <xf numFmtId="0" fontId="4" applyFont="1" fillId="2" applyFill="1" borderId="5" applyBorder="1"/>
    <xf numFmtId="0" fontId="4" applyFont="1" fillId="2" applyFill="1" borderId="6" applyBorder="1"/>
    <xf numFmtId="0" fontId="0" applyAlignment="1">
      <alignment wrapText="1"/>
    </xf>
    <xf numFmtId="4" applyNumberFormat="1" fontId="4" applyFont="1" fillId="4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Reconciliation Status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doughnutChart>
        <c:varyColors val="1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cat>
            <c:numRef>
              <c:f>Summary!$E$5:$E$7</c:f>
            </c:numRef>
          </c:cat>
          <c:val>
            <c:numRef>
              <c:f>Summary!$F$5:$F$7</c:f>
              <c:numCache/>
            </c:numRef>
          </c:val>
        </c:ser>
        <c:firstSliceAng val="0"/>
        <c:holeSize val="50"/>
      </c:doughnutChart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Financial Totals &amp; Variance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invertIfNegative val="0"/>
          <c:cat>
            <c:numRef>
              <c:f>Summary!$E$10:$E$12</c:f>
            </c:numRef>
          </c:cat>
          <c:val>
            <c:numRef>
              <c:f>Summary!$F$10:$F$12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Process Pipeline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invertIfNegative val="0"/>
          <c:cat>
            <c:numRef>
              <c:f>Summary!$E$15:$E$17</c:f>
            </c:numRef>
          </c:cat>
          <c:val>
            <c:numRef>
              <c:f>Summary!$F$15:$F$17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12</xdr:col>
      <xdr:colOff>342900</xdr:colOff>
      <xdr:row>17</xdr:row>
      <xdr:rowOff>0</xdr:rowOff>
    </xdr:to>
    <graphicFrame xmlns="http://schemas.openxmlformats.org/drawingml/2006/spreadsheetDrawing" macro="">
      <xdr:nvGraphicFramePr>
        <xdr:cNvPr id="3" name="ReconcileDonu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18</xdr:row>
      <xdr:rowOff>0</xdr:rowOff>
    </xdr:from>
    <xdr:to>
      <xdr:col>12</xdr:col>
      <xdr:colOff>342900</xdr:colOff>
      <xdr:row>31</xdr:row>
      <xdr:rowOff>0</xdr:rowOff>
    </xdr:to>
    <graphicFrame xmlns="http://schemas.openxmlformats.org/drawingml/2006/spreadsheetDrawing" macro="">
      <xdr:nvGraphicFramePr>
        <xdr:cNvPr id="4" name="FinanceTotal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32</xdr:row>
      <xdr:rowOff>0</xdr:rowOff>
    </xdr:from>
    <xdr:to>
      <xdr:col>12</xdr:col>
      <xdr:colOff>342900</xdr:colOff>
      <xdr:row>45</xdr:row>
      <xdr:rowOff>0</xdr:rowOff>
    </xdr:to>
    <graphicFrame xmlns="http://schemas.openxmlformats.org/drawingml/2006/spreadsheetDrawing" macro="">
      <xdr:nvGraphicFramePr>
        <xdr:cNvPr id="5" name="ProcessPipelin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MatchedTable" displayName="MatchedTable" ref="A1:N6" headerRowCount="1">
  <autoFilter ref="A1:N6"/>
  <tableColumns count="14">
    <tableColumn id="1" name="Bank Date"/>
    <tableColumn id="2" name="Bank Description"/>
    <tableColumn id="3" name="Bank Debit"/>
    <tableColumn id="4" name="Bank Credit"/>
    <tableColumn id="5" name="Bank Ref"/>
    <tableColumn id="6" name="Ledger Date"/>
    <tableColumn id="7" name="Ledger Description"/>
    <tableColumn id="8" name="Ledger Debit"/>
    <tableColumn id="9" name="Ledger Credit"/>
    <tableColumn id="10" name="Ledger Ref"/>
    <tableColumn id="11" name="Difference"/>
    <tableColumn id="12" name="Match Source"/>
    <tableColumn id="13" name="Confidence"/>
    <tableColumn id="14" name="Reas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Unmatched_Bank_Table" displayName="Unmatched_Bank_Table" ref="A1:F6" headerRowCount="1">
  <autoFilter ref="A1:F6"/>
  <tableColumns count="6">
    <tableColumn id="1" name="Date"/>
    <tableColumn id="2" name="Description"/>
    <tableColumn id="3" name="Debit"/>
    <tableColumn id="4" name="Credit"/>
    <tableColumn id="5" name="Reference"/>
    <tableColumn id="6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Unmatched_Ledger_Table" displayName="Unmatched_Ledger_Table" ref="A1:F6" headerRowCount="1">
  <autoFilter ref="A1:F6"/>
  <tableColumns count="6">
    <tableColumn id="1" name="Date"/>
    <tableColumn id="2" name="Description"/>
    <tableColumn id="3" name="Debit"/>
    <tableColumn id="4" name="Credit"/>
    <tableColumn id="5" name="Reference"/>
    <tableColumn id="6" name="Sourc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20"/>
  <sheetViews>
    <sheetView workbookViewId="0" showGridLines="0" topLeftCell="A1">
      <pane ySplit="10" topLeftCell="A11" state="frozen" activePane="bottomLeft"/>
      <selection pane="bottomLeft" activeCell="A1" sqref="A1"/>
    </sheetView>
  </sheetViews>
  <sheetFormatPr defaultRowHeight="15"/>
  <cols>
    <col min="1" max="1" width="22" customWidth="1"/>
    <col min="2" max="2" width="30" customWidth="1"/>
    <col min="5" max="5" width="18" customWidth="1"/>
    <col min="6" max="6" width="14" customWidth="1"/>
  </cols>
  <sheetData>
    <row r="1" ht="28" customHeight="1">
      <c r="A1" s="1" t="s">
        <v>0</v>
      </c>
      <c r="B1" s="1"/>
      <c r="C1" s="1"/>
      <c r="D1" s="1"/>
      <c r="E1" s="1"/>
      <c r="F1" s="1"/>
      <c r="G1" s="1"/>
      <c r="H1" s="1"/>
    </row>
    <row r="3">
      <c r="A3" s="0" t="s">
        <v>1</v>
      </c>
      <c r="B3" s="0" t="s">
        <v>2</v>
      </c>
      <c r="E3" s="2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  <c r="E5" s="0" t="s">
        <v>8</v>
      </c>
      <c r="F5" s="0">
        <v>5</v>
      </c>
    </row>
    <row r="6">
      <c r="A6" s="0" t="s">
        <v>9</v>
      </c>
      <c r="B6" s="0" t="s">
        <v>10</v>
      </c>
      <c r="E6" s="0" t="s">
        <v>11</v>
      </c>
      <c r="F6" s="0">
        <v>5</v>
      </c>
    </row>
    <row r="7">
      <c r="A7" s="0" t="s">
        <v>12</v>
      </c>
      <c r="B7" s="0" t="s">
        <v>13</v>
      </c>
      <c r="E7" s="0" t="s">
        <v>14</v>
      </c>
      <c r="F7" s="0">
        <v>5</v>
      </c>
    </row>
    <row r="8">
      <c r="A8" s="0" t="s">
        <v>15</v>
      </c>
      <c r="B8" s="0" t="s">
        <v>16</v>
      </c>
    </row>
    <row r="10">
      <c r="A10" s="4" t="s">
        <v>17</v>
      </c>
      <c r="B10" s="4"/>
      <c r="C10" s="3"/>
      <c r="E10" s="0" t="s">
        <v>18</v>
      </c>
      <c r="F10" s="12">
        <v>6675</v>
      </c>
    </row>
    <row r="11">
      <c r="A11" s="7" t="s">
        <v>19</v>
      </c>
      <c r="B11" s="8">
        <v>10</v>
      </c>
      <c r="C11" s="5"/>
      <c r="E11" s="0" t="s">
        <v>20</v>
      </c>
      <c r="F11" s="12">
        <v>5700</v>
      </c>
    </row>
    <row r="12">
      <c r="A12" s="7" t="s">
        <v>21</v>
      </c>
      <c r="B12" s="8">
        <v>10</v>
      </c>
      <c r="C12" s="5"/>
      <c r="E12" s="0" t="s">
        <v>22</v>
      </c>
      <c r="F12" s="12">
        <v>975</v>
      </c>
    </row>
    <row r="13">
      <c r="A13" s="7" t="s">
        <v>23</v>
      </c>
      <c r="B13" s="8">
        <v>5</v>
      </c>
      <c r="C13" s="5"/>
    </row>
    <row r="14">
      <c r="A14" s="7" t="s">
        <v>11</v>
      </c>
      <c r="B14" s="8">
        <v>5</v>
      </c>
      <c r="C14" s="5"/>
    </row>
    <row r="15">
      <c r="A15" s="7" t="s">
        <v>14</v>
      </c>
      <c r="B15" s="8">
        <v>5</v>
      </c>
      <c r="C15" s="5"/>
      <c r="E15" s="0" t="s">
        <v>24</v>
      </c>
      <c r="F15" s="0">
        <v>20</v>
      </c>
    </row>
    <row r="16">
      <c r="A16" s="7" t="s">
        <v>18</v>
      </c>
      <c r="B16" s="9">
        <v>6675</v>
      </c>
      <c r="C16" s="5"/>
      <c r="E16" s="0" t="s">
        <v>8</v>
      </c>
      <c r="F16" s="0">
        <v>10</v>
      </c>
    </row>
    <row r="17">
      <c r="A17" s="7" t="s">
        <v>20</v>
      </c>
      <c r="B17" s="9">
        <v>5700</v>
      </c>
      <c r="C17" s="5"/>
      <c r="E17" s="0" t="s">
        <v>25</v>
      </c>
      <c r="F17" s="0">
        <v>10</v>
      </c>
    </row>
    <row r="18">
      <c r="A18" s="7" t="s">
        <v>22</v>
      </c>
      <c r="B18" s="11">
        <v>975</v>
      </c>
      <c r="C18" s="5"/>
    </row>
    <row r="19">
      <c r="A19" s="6" t="s">
        <v>26</v>
      </c>
      <c r="B19" s="10">
        <v>50</v>
      </c>
      <c r="C19" s="5"/>
    </row>
    <row r="20">
      <c r="A20" s="5"/>
      <c r="B20" s="5"/>
    </row>
  </sheetData>
  <sheetProtection sheet="1" password="998c"/>
  <mergeCells>
    <mergeCell ref="A1:H1"/>
    <mergeCell ref="A10:C10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6"/>
  <sheetViews>
    <sheetView workbookViewId="0" showGridLines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27.69145393371582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27.69145393371582" customWidth="1"/>
    <col min="8" max="8" width="17.443378448486328" customWidth="1"/>
    <col min="9" max="9" width="17.443378448486328" customWidth="1"/>
    <col min="10" max="10" width="17.443378448486328" customWidth="1"/>
    <col min="11" max="11" width="17.443378448486328" customWidth="1"/>
    <col min="12" max="12" width="17.443378448486328" customWidth="1"/>
    <col min="13" max="13" width="17.443378448486328" customWidth="1"/>
    <col min="14" max="14" width="49.68157196044922" customWidth="1"/>
    <col min="15" max="15" width="9.140625" customWidth="1"/>
  </cols>
  <sheetData>
    <row r="1" ht="20" customHeight="1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4" t="s">
        <v>32</v>
      </c>
      <c r="G1" s="14" t="s">
        <v>33</v>
      </c>
      <c r="H1" s="14" t="s">
        <v>34</v>
      </c>
      <c r="I1" s="14" t="s">
        <v>35</v>
      </c>
      <c r="J1" s="14" t="s">
        <v>36</v>
      </c>
      <c r="K1" s="14" t="s">
        <v>37</v>
      </c>
      <c r="L1" s="14" t="s">
        <v>38</v>
      </c>
      <c r="M1" s="14" t="s">
        <v>39</v>
      </c>
      <c r="N1" s="13" t="s">
        <v>40</v>
      </c>
      <c r="O1" s="5"/>
    </row>
    <row r="2">
      <c r="A2" s="5" t="s">
        <v>41</v>
      </c>
      <c r="B2" s="5" t="s">
        <v>42</v>
      </c>
      <c r="C2" s="5">
        <v>0</v>
      </c>
      <c r="D2" s="5">
        <v>5000</v>
      </c>
      <c r="E2" s="5" t="s">
        <v>43</v>
      </c>
      <c r="F2" s="5" t="s">
        <v>41</v>
      </c>
      <c r="G2" s="5" t="s">
        <v>42</v>
      </c>
      <c r="H2" s="5">
        <v>0</v>
      </c>
      <c r="I2" s="5">
        <v>5000</v>
      </c>
      <c r="J2" s="5"/>
      <c r="K2" s="5">
        <v>0</v>
      </c>
      <c r="L2" s="5" t="s">
        <v>44</v>
      </c>
      <c r="M2" s="5">
        <v>1</v>
      </c>
      <c r="N2" s="5" t="s">
        <v>45</v>
      </c>
    </row>
    <row r="3">
      <c r="A3" s="0" t="s">
        <v>46</v>
      </c>
      <c r="B3" s="0" t="s">
        <v>47</v>
      </c>
      <c r="C3" s="0">
        <v>0</v>
      </c>
      <c r="D3" s="0">
        <v>1500</v>
      </c>
      <c r="E3" s="0" t="s">
        <v>48</v>
      </c>
      <c r="F3" s="0" t="s">
        <v>46</v>
      </c>
      <c r="G3" s="0" t="s">
        <v>47</v>
      </c>
      <c r="H3" s="0">
        <v>0</v>
      </c>
      <c r="I3" s="0">
        <v>1500</v>
      </c>
      <c r="J3"/>
      <c r="K3" s="0">
        <v>0</v>
      </c>
      <c r="L3" s="0" t="s">
        <v>44</v>
      </c>
      <c r="M3" s="0">
        <v>1</v>
      </c>
      <c r="N3" s="0" t="s">
        <v>45</v>
      </c>
    </row>
    <row r="4">
      <c r="A4" s="0" t="s">
        <v>49</v>
      </c>
      <c r="B4" s="0" t="s">
        <v>50</v>
      </c>
      <c r="C4" s="0">
        <v>1200</v>
      </c>
      <c r="D4" s="0">
        <v>0</v>
      </c>
      <c r="E4" s="0" t="s">
        <v>51</v>
      </c>
      <c r="F4" s="0" t="s">
        <v>49</v>
      </c>
      <c r="G4" s="0" t="s">
        <v>50</v>
      </c>
      <c r="H4" s="0">
        <v>1200</v>
      </c>
      <c r="I4" s="0">
        <v>0</v>
      </c>
      <c r="J4"/>
      <c r="K4" s="0">
        <v>0</v>
      </c>
      <c r="L4" s="0" t="s">
        <v>44</v>
      </c>
      <c r="M4" s="0">
        <v>1</v>
      </c>
      <c r="N4" s="0" t="s">
        <v>45</v>
      </c>
    </row>
    <row r="5">
      <c r="A5" s="0" t="s">
        <v>52</v>
      </c>
      <c r="B5" s="0" t="s">
        <v>53</v>
      </c>
      <c r="C5" s="0">
        <v>0</v>
      </c>
      <c r="D5" s="0">
        <v>2000</v>
      </c>
      <c r="E5" s="0" t="s">
        <v>54</v>
      </c>
      <c r="F5" s="0" t="s">
        <v>52</v>
      </c>
      <c r="G5" s="0" t="s">
        <v>53</v>
      </c>
      <c r="H5" s="0">
        <v>0</v>
      </c>
      <c r="I5" s="0">
        <v>2000</v>
      </c>
      <c r="J5"/>
      <c r="K5" s="0">
        <v>0</v>
      </c>
      <c r="L5" s="0" t="s">
        <v>44</v>
      </c>
      <c r="M5" s="0">
        <v>1</v>
      </c>
      <c r="N5" s="0" t="s">
        <v>45</v>
      </c>
    </row>
    <row r="6">
      <c r="A6" s="0" t="s">
        <v>55</v>
      </c>
      <c r="B6" s="0" t="s">
        <v>56</v>
      </c>
      <c r="C6" s="0">
        <v>0</v>
      </c>
      <c r="D6" s="0">
        <v>25</v>
      </c>
      <c r="E6" s="0" t="s">
        <v>57</v>
      </c>
      <c r="F6" s="0" t="s">
        <v>55</v>
      </c>
      <c r="G6" s="0" t="s">
        <v>58</v>
      </c>
      <c r="H6" s="0">
        <v>0</v>
      </c>
      <c r="I6" s="0">
        <v>0</v>
      </c>
      <c r="J6"/>
      <c r="K6" s="0">
        <v>25</v>
      </c>
      <c r="L6" s="0" t="s">
        <v>44</v>
      </c>
      <c r="M6" s="0">
        <v>0.95</v>
      </c>
      <c r="N6" s="0" t="s">
        <v>59</v>
      </c>
    </row>
  </sheetData>
  <sheetProtection sheet="1" password="998c"/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6"/>
  <sheetViews>
    <sheetView workbookViewId="0" showGridLines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26.704330444335938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9.140625" customWidth="1"/>
  </cols>
  <sheetData>
    <row r="1" ht="20" customHeight="1">
      <c r="A1" s="14" t="s">
        <v>60</v>
      </c>
      <c r="B1" s="14" t="s">
        <v>61</v>
      </c>
      <c r="C1" s="14" t="s">
        <v>62</v>
      </c>
      <c r="D1" s="14" t="s">
        <v>63</v>
      </c>
      <c r="E1" s="14" t="s">
        <v>64</v>
      </c>
      <c r="F1" s="13" t="s">
        <v>65</v>
      </c>
      <c r="G1" s="5"/>
    </row>
    <row r="2">
      <c r="A2" s="5" t="s">
        <v>66</v>
      </c>
      <c r="B2" s="5" t="s">
        <v>67</v>
      </c>
      <c r="C2" s="5">
        <v>50</v>
      </c>
      <c r="D2" s="5">
        <v>0</v>
      </c>
      <c r="E2" s="5" t="s">
        <v>68</v>
      </c>
      <c r="F2" s="5" t="s">
        <v>69</v>
      </c>
    </row>
    <row r="3">
      <c r="A3" s="0" t="s">
        <v>70</v>
      </c>
      <c r="B3" s="0" t="s">
        <v>71</v>
      </c>
      <c r="C3" s="0">
        <v>500</v>
      </c>
      <c r="D3" s="0">
        <v>0</v>
      </c>
      <c r="E3" s="0" t="s">
        <v>72</v>
      </c>
      <c r="F3" s="0" t="s">
        <v>69</v>
      </c>
    </row>
    <row r="4">
      <c r="A4" s="0" t="s">
        <v>73</v>
      </c>
      <c r="B4" s="0" t="s">
        <v>74</v>
      </c>
      <c r="C4" s="0">
        <v>0</v>
      </c>
      <c r="D4" s="0">
        <v>1000</v>
      </c>
      <c r="E4" s="0" t="s">
        <v>75</v>
      </c>
      <c r="F4" s="0" t="s">
        <v>69</v>
      </c>
    </row>
    <row r="5">
      <c r="A5" s="0" t="s">
        <v>76</v>
      </c>
      <c r="B5" s="0" t="s">
        <v>77</v>
      </c>
      <c r="C5" s="0">
        <v>800</v>
      </c>
      <c r="D5" s="0">
        <v>0</v>
      </c>
      <c r="E5" s="0" t="s">
        <v>78</v>
      </c>
      <c r="F5" s="0" t="s">
        <v>69</v>
      </c>
    </row>
    <row r="6">
      <c r="A6" s="0" t="s">
        <v>79</v>
      </c>
      <c r="B6" s="0" t="s">
        <v>80</v>
      </c>
      <c r="C6" s="0">
        <v>300</v>
      </c>
      <c r="D6" s="0">
        <v>0</v>
      </c>
      <c r="E6" s="0" t="s">
        <v>81</v>
      </c>
      <c r="F6" s="0" t="s">
        <v>69</v>
      </c>
    </row>
  </sheetData>
  <sheetProtection sheet="1" password="998c"/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6"/>
  <sheetViews>
    <sheetView workbookViewId="0" showGridLines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28.604154586791992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9.140625" customWidth="1"/>
  </cols>
  <sheetData>
    <row r="1" ht="20" customHeight="1">
      <c r="A1" s="14" t="s">
        <v>60</v>
      </c>
      <c r="B1" s="14" t="s">
        <v>61</v>
      </c>
      <c r="C1" s="14" t="s">
        <v>62</v>
      </c>
      <c r="D1" s="14" t="s">
        <v>63</v>
      </c>
      <c r="E1" s="14" t="s">
        <v>64</v>
      </c>
      <c r="F1" s="13" t="s">
        <v>65</v>
      </c>
      <c r="G1" s="5"/>
    </row>
    <row r="2">
      <c r="A2" s="5" t="s">
        <v>66</v>
      </c>
      <c r="B2" s="5" t="s">
        <v>82</v>
      </c>
      <c r="C2" s="5">
        <v>0</v>
      </c>
      <c r="D2" s="5">
        <v>0</v>
      </c>
      <c r="E2" s="5"/>
      <c r="F2" s="5" t="s">
        <v>83</v>
      </c>
    </row>
    <row r="3">
      <c r="A3" s="0" t="s">
        <v>70</v>
      </c>
      <c r="B3" s="0" t="s">
        <v>84</v>
      </c>
      <c r="C3" s="0">
        <v>500</v>
      </c>
      <c r="D3" s="0">
        <v>0</v>
      </c>
      <c r="E3"/>
      <c r="F3" s="0" t="s">
        <v>83</v>
      </c>
    </row>
    <row r="4">
      <c r="A4" s="0" t="s">
        <v>73</v>
      </c>
      <c r="B4" s="0" t="s">
        <v>85</v>
      </c>
      <c r="C4" s="0">
        <v>0</v>
      </c>
      <c r="D4" s="0">
        <v>0</v>
      </c>
      <c r="E4"/>
      <c r="F4" s="0" t="s">
        <v>83</v>
      </c>
    </row>
    <row r="5">
      <c r="A5" s="0" t="s">
        <v>76</v>
      </c>
      <c r="B5" s="0" t="s">
        <v>77</v>
      </c>
      <c r="C5" s="0">
        <v>800</v>
      </c>
      <c r="D5" s="0">
        <v>0</v>
      </c>
      <c r="E5"/>
      <c r="F5" s="0" t="s">
        <v>83</v>
      </c>
    </row>
    <row r="6">
      <c r="A6" s="0" t="s">
        <v>79</v>
      </c>
      <c r="B6" s="0" t="s">
        <v>86</v>
      </c>
      <c r="C6" s="0">
        <v>300</v>
      </c>
      <c r="D6" s="0">
        <v>0</v>
      </c>
      <c r="E6"/>
      <c r="F6" s="0" t="s">
        <v>83</v>
      </c>
    </row>
  </sheetData>
  <sheetProtection sheet="1" password="998c"/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24"/>
  <sheetViews>
    <sheetView workbookViewId="0" showGridLines="0" topLeftCell="A1">
      <pane ySplit="12" topLeftCell="A13" state="frozen" activePane="bottomLeft"/>
      <selection pane="bottomLeft" activeCell="A1" sqref="A1"/>
    </sheetView>
  </sheetViews>
  <sheetFormatPr defaultRowHeight="15"/>
  <cols>
    <col min="1" max="1" width="22" customWidth="1"/>
    <col min="2" max="2" width="60" customWidth="1"/>
  </cols>
  <sheetData>
    <row r="1" ht="26" customHeight="1">
      <c r="A1" s="1" t="s">
        <v>87</v>
      </c>
      <c r="B1" s="1"/>
      <c r="C1" s="1"/>
      <c r="D1" s="1"/>
      <c r="E1" s="1"/>
      <c r="F1" s="1"/>
    </row>
    <row r="3" ht="42" customHeight="1">
      <c r="A3" s="0" t="s">
        <v>88</v>
      </c>
      <c r="B3" s="15" t="s">
        <v>89</v>
      </c>
    </row>
    <row r="5">
      <c r="A5" s="0" t="s">
        <v>90</v>
      </c>
      <c r="B5" s="0" t="s">
        <v>2</v>
      </c>
    </row>
    <row r="6">
      <c r="A6" s="0" t="s">
        <v>91</v>
      </c>
      <c r="B6" s="0" t="s">
        <v>5</v>
      </c>
    </row>
    <row r="7">
      <c r="A7" s="0" t="s">
        <v>92</v>
      </c>
      <c r="B7" s="0" t="s">
        <v>7</v>
      </c>
    </row>
    <row r="8">
      <c r="A8" s="0" t="s">
        <v>12</v>
      </c>
      <c r="B8" s="0" t="s">
        <v>13</v>
      </c>
    </row>
    <row r="9">
      <c r="A9" s="0" t="s">
        <v>15</v>
      </c>
      <c r="B9" s="0" t="s">
        <v>16</v>
      </c>
    </row>
    <row r="10">
      <c r="A10" s="0" t="s">
        <v>9</v>
      </c>
      <c r="B10" s="0" t="s">
        <v>10</v>
      </c>
    </row>
    <row r="12">
      <c r="A12" s="2" t="s">
        <v>93</v>
      </c>
    </row>
    <row r="13">
      <c r="A13" s="0" t="s">
        <v>19</v>
      </c>
      <c r="B13" s="0">
        <v>10</v>
      </c>
    </row>
    <row r="14">
      <c r="A14" s="0" t="s">
        <v>21</v>
      </c>
      <c r="B14" s="0">
        <v>10</v>
      </c>
    </row>
    <row r="15">
      <c r="A15" s="0" t="s">
        <v>23</v>
      </c>
      <c r="B15" s="0">
        <v>5</v>
      </c>
    </row>
    <row r="16">
      <c r="A16" s="0" t="s">
        <v>11</v>
      </c>
      <c r="B16" s="0">
        <v>5</v>
      </c>
    </row>
    <row r="17">
      <c r="A17" s="0" t="s">
        <v>14</v>
      </c>
      <c r="B17" s="0">
        <v>5</v>
      </c>
    </row>
    <row r="19">
      <c r="A19" s="0" t="s">
        <v>18</v>
      </c>
      <c r="B19" s="12">
        <v>6675</v>
      </c>
    </row>
    <row r="20">
      <c r="A20" s="0" t="s">
        <v>20</v>
      </c>
      <c r="B20" s="12">
        <v>5700</v>
      </c>
    </row>
    <row r="21">
      <c r="A21" s="0" t="s">
        <v>22</v>
      </c>
      <c r="B21" s="16">
        <v>975</v>
      </c>
    </row>
    <row r="23">
      <c r="A23" s="2" t="s">
        <v>94</v>
      </c>
    </row>
    <row r="24" ht="60" customHeight="1">
      <c r="A24" s="15" t="s">
        <v>95</v>
      </c>
    </row>
  </sheetData>
  <sheetProtection sheet="1" password="998c"/>
  <mergeCells>
    <mergeCell ref="A1:F1"/>
    <mergeCell ref="A24:D27"/>
  </mergeCells>
  <headerFooter/>
</worksheet>
</file>

<file path=EPPlusLicense.txt>This workbook was created with the EPPlus library, licensed to MITANZ360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Company>MITANZ360</Company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MITANZ360Fin</dc:creator>
  <dc:title>Reconciliation Report</dc:title>
  <cp:keywords>EPPlus noncommercial use</cp:keywords>
  <dc:description>This workbook has been created with EPPlus licensed to MITANZ360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